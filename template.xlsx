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S" sheetId="2" state="visible" r:id="rId2"/>
    <sheet xmlns:r="http://schemas.openxmlformats.org/officeDocument/2006/relationships" name="BS" sheetId="3" state="visible" r:id="rId3"/>
    <sheet xmlns:r="http://schemas.openxmlformats.org/officeDocument/2006/relationships" name="CF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Sensitivity" sheetId="6" state="visible" r:id="rId6"/>
  </sheets>
  <definedNames>
    <definedName name="in_revenue">Inputs!$B$5:$F$5</definedName>
    <definedName name="in_op_income">Inputs!$B$6:$F$6</definedName>
    <definedName name="in_da">Inputs!$B$7:$F$7</definedName>
    <definedName name="in_ebitda">Inputs!$B$8:$F$8</definedName>
    <definedName name="in_net_income">Inputs!$B$9:$F$9</definedName>
    <definedName name="in_cfo">Inputs!$B$10:$F$10</definedName>
    <definedName name="in_capex">Inputs!$B$11:$F$11</definedName>
    <definedName name="in_fcf">Inputs!$B$12:$F$12</definedName>
    <definedName name="in_interest_expense">Inputs!$B$13:$F$13</definedName>
    <definedName name="in_ufcf">Inputs!$B$14:$F$14</definedName>
    <definedName name="in_cash">Inputs!$B$15:$F$15</definedName>
    <definedName name="in_debt_total">Inputs!$B$16:$F$16</definedName>
    <definedName name="in_net_debt">Inputs!$B$17:$F$17</definedName>
    <definedName name="in_shares_diluted">Inputs!$B$18:$F$18</definedName>
    <definedName name="in_assets">Inputs!$B$19:$F$19</definedName>
    <definedName name="in_liab_equity">Inputs!$B$20:$F$20</definedName>
    <definedName name="in_equity">Inputs!$B$21:$F$21</definedName>
    <definedName name="in_fiscal_year">Inputs!$B$4:$F$4</definedName>
    <definedName name="Ticker">Inputs!$B$2</definedName>
    <definedName name="WACC">Inputs!$B$25</definedName>
    <definedName name="TermGrowth">Inputs!$B$26</definedName>
    <definedName name="FadeGrowth">Inputs!$B$27</definedName>
    <definedName name="StartGrowth">Inputs!$B$28</definedName>
    <definedName name="FCFMargin">Inputs!$B$29</definedName>
    <definedName name="TaxRate">Inputs!$B$30</definedName>
    <definedName name="Price">Inputs!$B$31</definedName>
    <definedName name="Sens_Grid">Sensitivity!$B$5:$F$13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,,;(#,##0.0,,);&quot;-&quot;"/>
    <numFmt numFmtId="165" formatCode="0.0%"/>
    <numFmt numFmtId="166" formatCode="$#,##0.00"/>
    <numFmt numFmtId="167" formatCode="0.0&quot;x&quot;"/>
    <numFmt numFmtId="168" formatCode="0.0000"/>
  </numFmts>
  <fonts count="7">
    <font>
      <name val="Calibri"/>
      <family val="2"/>
      <color theme="1"/>
      <sz val="11"/>
      <scheme val="minor"/>
    </font>
    <font>
      <b val="1"/>
      <sz val="13"/>
    </font>
    <font>
      <color rgb="000000FF"/>
    </font>
    <font>
      <b val="1"/>
      <color rgb="00FFFFFF"/>
    </font>
    <font>
      <b val="1"/>
    </font>
    <font/>
    <font>
      <b val="1"/>
      <color rgb="000000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164" fontId="2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164" fontId="5" fillId="0" borderId="0" pivotButton="0" quotePrefix="0" xfId="0"/>
    <xf numFmtId="167" fontId="5" fillId="0" borderId="0" pivotButton="0" quotePrefix="0" xfId="0"/>
    <xf numFmtId="165" fontId="0" fillId="0" borderId="0" pivotButton="0" quotePrefix="0" xfId="0"/>
    <xf numFmtId="168" fontId="0" fillId="0" borderId="0" pivotButton="0" quotePrefix="0" xfId="0"/>
    <xf numFmtId="166" fontId="4" fillId="0" borderId="0" pivotButton="0" quotePrefix="0" xfId="0"/>
    <xf numFmtId="166" fontId="0" fillId="0" borderId="0" pivotButton="0" quotePrefix="0" xfId="0"/>
    <xf numFmtId="165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Inputs (written by the pipeline; blue = hardcoded)</t>
        </is>
      </c>
    </row>
    <row r="2">
      <c r="A2" t="inlineStr">
        <is>
          <t>Ticker</t>
        </is>
      </c>
      <c r="B2" s="2" t="n"/>
    </row>
    <row r="4">
      <c r="A4" s="3" t="inlineStr">
        <is>
          <t>Fiscal year</t>
        </is>
      </c>
      <c r="B4" s="4" t="n"/>
      <c r="C4" s="4" t="n"/>
      <c r="D4" s="4" t="n"/>
      <c r="E4" s="4" t="n"/>
      <c r="F4" s="4" t="n"/>
    </row>
    <row r="5">
      <c r="A5" t="inlineStr">
        <is>
          <t>Revenue</t>
        </is>
      </c>
      <c r="B5" s="5" t="n"/>
      <c r="C5" s="5" t="n"/>
      <c r="D5" s="5" t="n"/>
      <c r="E5" s="5" t="n"/>
      <c r="F5" s="5" t="n"/>
    </row>
    <row r="6">
      <c r="A6" t="inlineStr">
        <is>
          <t>Operating income</t>
        </is>
      </c>
      <c r="B6" s="5" t="n"/>
      <c r="C6" s="5" t="n"/>
      <c r="D6" s="5" t="n"/>
      <c r="E6" s="5" t="n"/>
      <c r="F6" s="5" t="n"/>
    </row>
    <row r="7">
      <c r="A7" t="inlineStr">
        <is>
          <t>Depreciation &amp; amortization</t>
        </is>
      </c>
      <c r="B7" s="5" t="n"/>
      <c r="C7" s="5" t="n"/>
      <c r="D7" s="5" t="n"/>
      <c r="E7" s="5" t="n"/>
      <c r="F7" s="5" t="n"/>
    </row>
    <row r="8">
      <c r="A8" t="inlineStr">
        <is>
          <t>EBITDA (op. income + D&amp;A)</t>
        </is>
      </c>
      <c r="B8" s="6">
        <f>IF(COUNT(B6,B7)=2,B6+B7,"")</f>
        <v/>
      </c>
      <c r="C8" s="6">
        <f>IF(COUNT(C6,C7)=2,C6+C7,"")</f>
        <v/>
      </c>
      <c r="D8" s="6">
        <f>IF(COUNT(D6,D7)=2,D6+D7,"")</f>
        <v/>
      </c>
      <c r="E8" s="6">
        <f>IF(COUNT(E6,E7)=2,E6+E7,"")</f>
        <v/>
      </c>
      <c r="F8" s="6">
        <f>IF(COUNT(F6,F7)=2,F6+F7,"")</f>
        <v/>
      </c>
    </row>
    <row r="9">
      <c r="A9" t="inlineStr">
        <is>
          <t>Net income</t>
        </is>
      </c>
      <c r="B9" s="5" t="n"/>
      <c r="C9" s="5" t="n"/>
      <c r="D9" s="5" t="n"/>
      <c r="E9" s="5" t="n"/>
      <c r="F9" s="5" t="n"/>
    </row>
    <row r="10">
      <c r="A10" t="inlineStr">
        <is>
          <t>Cash from operations</t>
        </is>
      </c>
      <c r="B10" s="5" t="n"/>
      <c r="C10" s="5" t="n"/>
      <c r="D10" s="5" t="n"/>
      <c r="E10" s="5" t="n"/>
      <c r="F10" s="5" t="n"/>
    </row>
    <row r="11">
      <c r="A11" t="inlineStr">
        <is>
          <t>Capital expenditures</t>
        </is>
      </c>
      <c r="B11" s="5" t="n"/>
      <c r="C11" s="5" t="n"/>
      <c r="D11" s="5" t="n"/>
      <c r="E11" s="5" t="n"/>
      <c r="F11" s="5" t="n"/>
    </row>
    <row r="12">
      <c r="A12" t="inlineStr">
        <is>
          <t>Free cash flow (CFO - capex)</t>
        </is>
      </c>
      <c r="B12" s="6">
        <f>IF(COUNT(B10,B11)=2,B10-B11,"")</f>
        <v/>
      </c>
      <c r="C12" s="6">
        <f>IF(COUNT(C10,C11)=2,C10-C11,"")</f>
        <v/>
      </c>
      <c r="D12" s="6">
        <f>IF(COUNT(D10,D11)=2,D10-D11,"")</f>
        <v/>
      </c>
      <c r="E12" s="6">
        <f>IF(COUNT(E10,E11)=2,E10-E11,"")</f>
        <v/>
      </c>
      <c r="F12" s="6">
        <f>IF(COUNT(F10,F11)=2,F10-F11,"")</f>
        <v/>
      </c>
    </row>
    <row r="13">
      <c r="A13" t="inlineStr">
        <is>
          <t>Interest expense</t>
        </is>
      </c>
      <c r="B13" s="5" t="n"/>
      <c r="C13" s="5" t="n"/>
      <c r="D13" s="5" t="n"/>
      <c r="E13" s="5" t="n"/>
      <c r="F13" s="5" t="n"/>
    </row>
    <row r="14">
      <c r="A14" t="inlineStr">
        <is>
          <t>Unlevered FCF (FCF + after-tax interest)</t>
        </is>
      </c>
      <c r="B14" s="6">
        <f>IF(COUNT(B10,B11)=2,B10-B11+N(B13)*(1-TaxRate),"")</f>
        <v/>
      </c>
      <c r="C14" s="6">
        <f>IF(COUNT(C10,C11)=2,C10-C11+N(C13)*(1-TaxRate),"")</f>
        <v/>
      </c>
      <c r="D14" s="6">
        <f>IF(COUNT(D10,D11)=2,D10-D11+N(D13)*(1-TaxRate),"")</f>
        <v/>
      </c>
      <c r="E14" s="6">
        <f>IF(COUNT(E10,E11)=2,E10-E11+N(E13)*(1-TaxRate),"")</f>
        <v/>
      </c>
      <c r="F14" s="6">
        <f>IF(COUNT(F10,F11)=2,F10-F11+N(F13)*(1-TaxRate),"")</f>
        <v/>
      </c>
    </row>
    <row r="15">
      <c r="A15" t="inlineStr">
        <is>
          <t>Cash &amp; equivalents</t>
        </is>
      </c>
      <c r="B15" s="5" t="n"/>
      <c r="C15" s="5" t="n"/>
      <c r="D15" s="5" t="n"/>
      <c r="E15" s="5" t="n"/>
      <c r="F15" s="5" t="n"/>
    </row>
    <row r="16">
      <c r="A16" t="inlineStr">
        <is>
          <t>Total debt</t>
        </is>
      </c>
      <c r="B16" s="5" t="n"/>
      <c r="C16" s="5" t="n"/>
      <c r="D16" s="5" t="n"/>
      <c r="E16" s="5" t="n"/>
      <c r="F16" s="5" t="n"/>
    </row>
    <row r="17">
      <c r="A17" t="inlineStr">
        <is>
          <t>Net debt</t>
        </is>
      </c>
      <c r="B17" s="6">
        <f>IF(COUNT(B15)=1,B16-B15,"")</f>
        <v/>
      </c>
      <c r="C17" s="6">
        <f>IF(COUNT(C15)=1,C16-C15,"")</f>
        <v/>
      </c>
      <c r="D17" s="6">
        <f>IF(COUNT(D15)=1,D16-D15,"")</f>
        <v/>
      </c>
      <c r="E17" s="6">
        <f>IF(COUNT(E15)=1,E16-E15,"")</f>
        <v/>
      </c>
      <c r="F17" s="6">
        <f>IF(COUNT(F15)=1,F16-F15,"")</f>
        <v/>
      </c>
    </row>
    <row r="18">
      <c r="A18" t="inlineStr">
        <is>
          <t>Diluted shares (millions)</t>
        </is>
      </c>
      <c r="B18" s="5" t="n"/>
      <c r="C18" s="5" t="n"/>
      <c r="D18" s="5" t="n"/>
      <c r="E18" s="5" t="n"/>
      <c r="F18" s="5" t="n"/>
    </row>
    <row r="19">
      <c r="A19" t="inlineStr">
        <is>
          <t>Total assets</t>
        </is>
      </c>
      <c r="B19" s="5" t="n"/>
      <c r="C19" s="5" t="n"/>
      <c r="D19" s="5" t="n"/>
      <c r="E19" s="5" t="n"/>
      <c r="F19" s="5" t="n"/>
    </row>
    <row r="20">
      <c r="A20" t="inlineStr">
        <is>
          <t>Total liabilities &amp; equity</t>
        </is>
      </c>
      <c r="B20" s="5" t="n"/>
      <c r="C20" s="5" t="n"/>
      <c r="D20" s="5" t="n"/>
      <c r="E20" s="5" t="n"/>
      <c r="F20" s="5" t="n"/>
    </row>
    <row r="21">
      <c r="A21" t="inlineStr">
        <is>
          <t>Stockholders' equity</t>
        </is>
      </c>
      <c r="B21" s="5" t="n"/>
      <c r="C21" s="5" t="n"/>
      <c r="D21" s="5" t="n"/>
      <c r="E21" s="5" t="n"/>
      <c r="F21" s="5" t="n"/>
    </row>
    <row r="24">
      <c r="A24" s="7" t="inlineStr">
        <is>
          <t>DCF assumptions (defaults derived from history; edit freely)</t>
        </is>
      </c>
    </row>
    <row r="25">
      <c r="A25" t="inlineStr">
        <is>
          <t>WACC</t>
        </is>
      </c>
      <c r="B25" s="8" t="n"/>
    </row>
    <row r="26">
      <c r="A26" t="inlineStr">
        <is>
          <t>Terminal growth rate</t>
        </is>
      </c>
      <c r="B26" s="8" t="n"/>
    </row>
    <row r="27">
      <c r="A27" t="inlineStr">
        <is>
          <t>Year-5 revenue growth (fade target)</t>
        </is>
      </c>
      <c r="B27" s="8" t="n"/>
    </row>
    <row r="28">
      <c r="A28" t="inlineStr">
        <is>
          <t>Year-1 revenue growth</t>
        </is>
      </c>
      <c r="B28" s="8" t="n"/>
    </row>
    <row r="29">
      <c r="A29" t="inlineStr">
        <is>
          <t>Unlevered FCF margin</t>
        </is>
      </c>
      <c r="B29" s="8" t="n"/>
    </row>
    <row r="30">
      <c r="A30" t="inlineStr">
        <is>
          <t>Tax rate on interest</t>
        </is>
      </c>
      <c r="B30" s="8" t="n"/>
    </row>
    <row r="31">
      <c r="A31" t="inlineStr">
        <is>
          <t>Current share price ($)</t>
        </is>
      </c>
      <c r="B31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Income statement summary</t>
        </is>
      </c>
    </row>
    <row r="3">
      <c r="A3" s="3" t="inlineStr">
        <is>
          <t>USD millions unless noted</t>
        </is>
      </c>
      <c r="B3" s="4">
        <f>IF(Inputs!B4="","","FY"&amp;Inputs!B4)</f>
        <v/>
      </c>
      <c r="C3" s="4">
        <f>IF(Inputs!C4="","","FY"&amp;Inputs!C4)</f>
        <v/>
      </c>
      <c r="D3" s="4">
        <f>IF(Inputs!D4="","","FY"&amp;Inputs!D4)</f>
        <v/>
      </c>
      <c r="E3" s="4">
        <f>IF(Inputs!E4="","","FY"&amp;Inputs!E4)</f>
        <v/>
      </c>
      <c r="F3" s="4">
        <f>IF(Inputs!F4="","","FY"&amp;Inputs!F4)</f>
        <v/>
      </c>
    </row>
    <row r="4">
      <c r="A4" s="7" t="inlineStr">
        <is>
          <t>Revenue</t>
        </is>
      </c>
      <c r="B4" s="10">
        <f>Inputs!B5</f>
        <v/>
      </c>
      <c r="C4" s="10">
        <f>Inputs!C5</f>
        <v/>
      </c>
      <c r="D4" s="10">
        <f>Inputs!D5</f>
        <v/>
      </c>
      <c r="E4" s="10">
        <f>Inputs!E5</f>
        <v/>
      </c>
      <c r="F4" s="10">
        <f>Inputs!F5</f>
        <v/>
      </c>
    </row>
    <row r="5">
      <c r="A5" s="11" t="inlineStr">
        <is>
          <t xml:space="preserve">  growth %</t>
        </is>
      </c>
      <c r="C5" s="12">
        <f>IFERROR(C4/B4-1,"")</f>
        <v/>
      </c>
      <c r="D5" s="12">
        <f>IFERROR(D4/C4-1,"")</f>
        <v/>
      </c>
      <c r="E5" s="12">
        <f>IFERROR(E4/D4-1,"")</f>
        <v/>
      </c>
      <c r="F5" s="12">
        <f>IFERROR(F4/E4-1,"")</f>
        <v/>
      </c>
    </row>
    <row r="6">
      <c r="A6" s="11" t="inlineStr">
        <is>
          <t>Operating income</t>
        </is>
      </c>
      <c r="B6" s="13">
        <f>Inputs!B6</f>
        <v/>
      </c>
      <c r="C6" s="13">
        <f>Inputs!C6</f>
        <v/>
      </c>
      <c r="D6" s="13">
        <f>Inputs!D6</f>
        <v/>
      </c>
      <c r="E6" s="13">
        <f>Inputs!E6</f>
        <v/>
      </c>
      <c r="F6" s="13">
        <f>Inputs!F6</f>
        <v/>
      </c>
    </row>
    <row r="7">
      <c r="A7" s="11" t="inlineStr">
        <is>
          <t xml:space="preserve">  operating margin</t>
        </is>
      </c>
      <c r="B7" s="12">
        <f>IFERROR(B6/B4,"")</f>
        <v/>
      </c>
      <c r="C7" s="12">
        <f>IFERROR(C6/C4,"")</f>
        <v/>
      </c>
      <c r="D7" s="12">
        <f>IFERROR(D6/D4,"")</f>
        <v/>
      </c>
      <c r="E7" s="12">
        <f>IFERROR(E6/E4,"")</f>
        <v/>
      </c>
      <c r="F7" s="12">
        <f>IFERROR(F6/F4,"")</f>
        <v/>
      </c>
    </row>
    <row r="8">
      <c r="A8" s="11" t="inlineStr">
        <is>
          <t>D&amp;A</t>
        </is>
      </c>
      <c r="B8" s="13">
        <f>Inputs!B7</f>
        <v/>
      </c>
      <c r="C8" s="13">
        <f>Inputs!C7</f>
        <v/>
      </c>
      <c r="D8" s="13">
        <f>Inputs!D7</f>
        <v/>
      </c>
      <c r="E8" s="13">
        <f>Inputs!E7</f>
        <v/>
      </c>
      <c r="F8" s="13">
        <f>Inputs!F7</f>
        <v/>
      </c>
    </row>
    <row r="9">
      <c r="A9" s="7" t="inlineStr">
        <is>
          <t>EBITDA</t>
        </is>
      </c>
      <c r="B9" s="10">
        <f>Inputs!B8</f>
        <v/>
      </c>
      <c r="C9" s="10">
        <f>Inputs!C8</f>
        <v/>
      </c>
      <c r="D9" s="10">
        <f>Inputs!D8</f>
        <v/>
      </c>
      <c r="E9" s="10">
        <f>Inputs!E8</f>
        <v/>
      </c>
      <c r="F9" s="10">
        <f>Inputs!F8</f>
        <v/>
      </c>
    </row>
    <row r="10">
      <c r="A10" s="11" t="inlineStr">
        <is>
          <t xml:space="preserve">  EBITDA margin</t>
        </is>
      </c>
      <c r="B10" s="12">
        <f>IFERROR(B9/B4,"")</f>
        <v/>
      </c>
      <c r="C10" s="12">
        <f>IFERROR(C9/C4,"")</f>
        <v/>
      </c>
      <c r="D10" s="12">
        <f>IFERROR(D9/D4,"")</f>
        <v/>
      </c>
      <c r="E10" s="12">
        <f>IFERROR(E9/E4,"")</f>
        <v/>
      </c>
      <c r="F10" s="12">
        <f>IFERROR(F9/F4,"")</f>
        <v/>
      </c>
    </row>
    <row r="11">
      <c r="A11" s="11" t="inlineStr">
        <is>
          <t>Net income</t>
        </is>
      </c>
      <c r="B11" s="13">
        <f>Inputs!B9</f>
        <v/>
      </c>
      <c r="C11" s="13">
        <f>Inputs!C9</f>
        <v/>
      </c>
      <c r="D11" s="13">
        <f>Inputs!D9</f>
        <v/>
      </c>
      <c r="E11" s="13">
        <f>Inputs!E9</f>
        <v/>
      </c>
      <c r="F11" s="13">
        <f>Inputs!F9</f>
        <v/>
      </c>
    </row>
    <row r="12">
      <c r="A12" s="11" t="inlineStr">
        <is>
          <t xml:space="preserve">  net margin</t>
        </is>
      </c>
      <c r="B12" s="12">
        <f>IFERROR(B11/B4,"")</f>
        <v/>
      </c>
      <c r="C12" s="12">
        <f>IFERROR(C11/C4,"")</f>
        <v/>
      </c>
      <c r="D12" s="12">
        <f>IFERROR(D11/D4,"")</f>
        <v/>
      </c>
      <c r="E12" s="12">
        <f>IFERROR(E11/E4,"")</f>
        <v/>
      </c>
      <c r="F12" s="12">
        <f>IFERROR(F11/F4,"")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Balance sheet summary</t>
        </is>
      </c>
    </row>
    <row r="3">
      <c r="A3" s="3" t="inlineStr">
        <is>
          <t>USD millions unless noted</t>
        </is>
      </c>
      <c r="B3" s="4">
        <f>IF(Inputs!B4="","","FY"&amp;Inputs!B4)</f>
        <v/>
      </c>
      <c r="C3" s="4">
        <f>IF(Inputs!C4="","","FY"&amp;Inputs!C4)</f>
        <v/>
      </c>
      <c r="D3" s="4">
        <f>IF(Inputs!D4="","","FY"&amp;Inputs!D4)</f>
        <v/>
      </c>
      <c r="E3" s="4">
        <f>IF(Inputs!E4="","","FY"&amp;Inputs!E4)</f>
        <v/>
      </c>
      <c r="F3" s="4">
        <f>IF(Inputs!F4="","","FY"&amp;Inputs!F4)</f>
        <v/>
      </c>
    </row>
    <row r="4">
      <c r="A4" s="11" t="inlineStr">
        <is>
          <t>Cash &amp; equivalents</t>
        </is>
      </c>
      <c r="B4" s="13">
        <f>Inputs!B15</f>
        <v/>
      </c>
      <c r="C4" s="13">
        <f>Inputs!C15</f>
        <v/>
      </c>
      <c r="D4" s="13">
        <f>Inputs!D15</f>
        <v/>
      </c>
      <c r="E4" s="13">
        <f>Inputs!E15</f>
        <v/>
      </c>
      <c r="F4" s="13">
        <f>Inputs!F15</f>
        <v/>
      </c>
    </row>
    <row r="5">
      <c r="A5" s="7" t="inlineStr">
        <is>
          <t>Total assets</t>
        </is>
      </c>
      <c r="B5" s="10">
        <f>Inputs!B19</f>
        <v/>
      </c>
      <c r="C5" s="10">
        <f>Inputs!C19</f>
        <v/>
      </c>
      <c r="D5" s="10">
        <f>Inputs!D19</f>
        <v/>
      </c>
      <c r="E5" s="10">
        <f>Inputs!E19</f>
        <v/>
      </c>
      <c r="F5" s="10">
        <f>Inputs!F19</f>
        <v/>
      </c>
    </row>
    <row r="6">
      <c r="A6" s="11" t="inlineStr">
        <is>
          <t>Total liabilities</t>
        </is>
      </c>
      <c r="B6" s="13">
        <f>IF(COUNT(Inputs!B20,Inputs!B21)=2,Inputs!B20-Inputs!B21,"")</f>
        <v/>
      </c>
      <c r="C6" s="13">
        <f>IF(COUNT(Inputs!C20,Inputs!C21)=2,Inputs!C20-Inputs!C21,"")</f>
        <v/>
      </c>
      <c r="D6" s="13">
        <f>IF(COUNT(Inputs!D20,Inputs!D21)=2,Inputs!D20-Inputs!D21,"")</f>
        <v/>
      </c>
      <c r="E6" s="13">
        <f>IF(COUNT(Inputs!E20,Inputs!E21)=2,Inputs!E20-Inputs!E21,"")</f>
        <v/>
      </c>
      <c r="F6" s="13">
        <f>IF(COUNT(Inputs!F20,Inputs!F21)=2,Inputs!F20-Inputs!F21,"")</f>
        <v/>
      </c>
    </row>
    <row r="7">
      <c r="A7" s="11" t="inlineStr">
        <is>
          <t>Stockholders' equity</t>
        </is>
      </c>
      <c r="B7" s="13">
        <f>Inputs!B21</f>
        <v/>
      </c>
      <c r="C7" s="13">
        <f>Inputs!C21</f>
        <v/>
      </c>
      <c r="D7" s="13">
        <f>Inputs!D21</f>
        <v/>
      </c>
      <c r="E7" s="13">
        <f>Inputs!E21</f>
        <v/>
      </c>
      <c r="F7" s="13">
        <f>Inputs!F21</f>
        <v/>
      </c>
    </row>
    <row r="8">
      <c r="A8" s="7" t="inlineStr">
        <is>
          <t>Total liabilities &amp; equity</t>
        </is>
      </c>
      <c r="B8" s="10">
        <f>Inputs!B20</f>
        <v/>
      </c>
      <c r="C8" s="10">
        <f>Inputs!C20</f>
        <v/>
      </c>
      <c r="D8" s="10">
        <f>Inputs!D20</f>
        <v/>
      </c>
      <c r="E8" s="10">
        <f>Inputs!E20</f>
        <v/>
      </c>
      <c r="F8" s="10">
        <f>Inputs!F20</f>
        <v/>
      </c>
    </row>
    <row r="9">
      <c r="A9" s="11" t="inlineStr">
        <is>
          <t>Balance check (assets - L&amp;E)</t>
        </is>
      </c>
      <c r="B9" s="13">
        <f>IF(COUNT(B5,B8)=2,B5-B8,"")</f>
        <v/>
      </c>
      <c r="C9" s="13">
        <f>IF(COUNT(C5,C8)=2,C5-C8,"")</f>
        <v/>
      </c>
      <c r="D9" s="13">
        <f>IF(COUNT(D5,D8)=2,D5-D8,"")</f>
        <v/>
      </c>
      <c r="E9" s="13">
        <f>IF(COUNT(E5,E8)=2,E5-E8,"")</f>
        <v/>
      </c>
      <c r="F9" s="13">
        <f>IF(COUNT(F5,F8)=2,F5-F8,"")</f>
        <v/>
      </c>
    </row>
    <row r="10">
      <c r="A10" s="11" t="inlineStr">
        <is>
          <t>Total debt</t>
        </is>
      </c>
      <c r="B10" s="13">
        <f>Inputs!B16</f>
        <v/>
      </c>
      <c r="C10" s="13">
        <f>Inputs!C16</f>
        <v/>
      </c>
      <c r="D10" s="13">
        <f>Inputs!D16</f>
        <v/>
      </c>
      <c r="E10" s="13">
        <f>Inputs!E16</f>
        <v/>
      </c>
      <c r="F10" s="13">
        <f>Inputs!F16</f>
        <v/>
      </c>
    </row>
    <row r="11">
      <c r="A11" s="7" t="inlineStr">
        <is>
          <t>Net debt</t>
        </is>
      </c>
      <c r="B11" s="10">
        <f>Inputs!B17</f>
        <v/>
      </c>
      <c r="C11" s="10">
        <f>Inputs!C17</f>
        <v/>
      </c>
      <c r="D11" s="10">
        <f>Inputs!D17</f>
        <v/>
      </c>
      <c r="E11" s="10">
        <f>Inputs!E17</f>
        <v/>
      </c>
      <c r="F11" s="10">
        <f>Inputs!F17</f>
        <v/>
      </c>
    </row>
    <row r="12">
      <c r="A12" s="11" t="inlineStr">
        <is>
          <t>Net debt / EBITDA (x)</t>
        </is>
      </c>
      <c r="B12" s="14">
        <f>IFERROR(IF(IS!B9&gt;0,B11/IS!B9,""),"")</f>
        <v/>
      </c>
      <c r="C12" s="14">
        <f>IFERROR(IF(IS!C9&gt;0,C11/IS!C9,""),"")</f>
        <v/>
      </c>
      <c r="D12" s="14">
        <f>IFERROR(IF(IS!D9&gt;0,D11/IS!D9,""),"")</f>
        <v/>
      </c>
      <c r="E12" s="14">
        <f>IFERROR(IF(IS!E9&gt;0,E11/IS!E9,""),"")</f>
        <v/>
      </c>
      <c r="F12" s="14">
        <f>IFERROR(IF(IS!F9&gt;0,F11/IS!F9,""),"")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Cash flow summary</t>
        </is>
      </c>
    </row>
    <row r="3">
      <c r="A3" s="3" t="inlineStr">
        <is>
          <t>USD millions unless noted</t>
        </is>
      </c>
      <c r="B3" s="4">
        <f>IF(Inputs!B4="","","FY"&amp;Inputs!B4)</f>
        <v/>
      </c>
      <c r="C3" s="4">
        <f>IF(Inputs!C4="","","FY"&amp;Inputs!C4)</f>
        <v/>
      </c>
      <c r="D3" s="4">
        <f>IF(Inputs!D4="","","FY"&amp;Inputs!D4)</f>
        <v/>
      </c>
      <c r="E3" s="4">
        <f>IF(Inputs!E4="","","FY"&amp;Inputs!E4)</f>
        <v/>
      </c>
      <c r="F3" s="4">
        <f>IF(Inputs!F4="","","FY"&amp;Inputs!F4)</f>
        <v/>
      </c>
    </row>
    <row r="4">
      <c r="A4" s="11" t="inlineStr">
        <is>
          <t>Cash from operations</t>
        </is>
      </c>
      <c r="B4" s="13">
        <f>Inputs!B10</f>
        <v/>
      </c>
      <c r="C4" s="13">
        <f>Inputs!C10</f>
        <v/>
      </c>
      <c r="D4" s="13">
        <f>Inputs!D10</f>
        <v/>
      </c>
      <c r="E4" s="13">
        <f>Inputs!E10</f>
        <v/>
      </c>
      <c r="F4" s="13">
        <f>Inputs!F10</f>
        <v/>
      </c>
    </row>
    <row r="5">
      <c r="A5" s="11" t="inlineStr">
        <is>
          <t>Capital expenditures</t>
        </is>
      </c>
      <c r="B5" s="13">
        <f>Inputs!B11</f>
        <v/>
      </c>
      <c r="C5" s="13">
        <f>Inputs!C11</f>
        <v/>
      </c>
      <c r="D5" s="13">
        <f>Inputs!D11</f>
        <v/>
      </c>
      <c r="E5" s="13">
        <f>Inputs!E11</f>
        <v/>
      </c>
      <c r="F5" s="13">
        <f>Inputs!F11</f>
        <v/>
      </c>
    </row>
    <row r="6">
      <c r="A6" s="7" t="inlineStr">
        <is>
          <t>Free cash flow</t>
        </is>
      </c>
      <c r="B6" s="10">
        <f>Inputs!B12</f>
        <v/>
      </c>
      <c r="C6" s="10">
        <f>Inputs!C12</f>
        <v/>
      </c>
      <c r="D6" s="10">
        <f>Inputs!D12</f>
        <v/>
      </c>
      <c r="E6" s="10">
        <f>Inputs!E12</f>
        <v/>
      </c>
      <c r="F6" s="10">
        <f>Inputs!F12</f>
        <v/>
      </c>
    </row>
    <row r="7">
      <c r="A7" s="11" t="inlineStr">
        <is>
          <t xml:space="preserve">  FCF margin</t>
        </is>
      </c>
      <c r="B7" s="12">
        <f>IFERROR(B6/IS!B4,"")</f>
        <v/>
      </c>
      <c r="C7" s="12">
        <f>IFERROR(C6/IS!C4,"")</f>
        <v/>
      </c>
      <c r="D7" s="12">
        <f>IFERROR(D6/IS!D4,"")</f>
        <v/>
      </c>
      <c r="E7" s="12">
        <f>IFERROR(E6/IS!E4,"")</f>
        <v/>
      </c>
      <c r="F7" s="12">
        <f>IFERROR(F6/IS!F4,"")</f>
        <v/>
      </c>
    </row>
    <row r="8">
      <c r="A8" s="11" t="inlineStr">
        <is>
          <t xml:space="preserve">  FCF conversion (FCF / net income)</t>
        </is>
      </c>
      <c r="B8" s="12">
        <f>IFERROR(B6/IS!B11,"")</f>
        <v/>
      </c>
      <c r="C8" s="12">
        <f>IFERROR(C6/IS!C11,"")</f>
        <v/>
      </c>
      <c r="D8" s="12">
        <f>IFERROR(D6/IS!D11,"")</f>
        <v/>
      </c>
      <c r="E8" s="12">
        <f>IFERROR(E6/IS!E11,"")</f>
        <v/>
      </c>
      <c r="F8" s="12">
        <f>IFERROR(F6/IS!F11,"")</f>
        <v/>
      </c>
    </row>
    <row r="9">
      <c r="A9" s="11" t="inlineStr">
        <is>
          <t>Interest expense</t>
        </is>
      </c>
      <c r="B9" s="13">
        <f>Inputs!B13</f>
        <v/>
      </c>
      <c r="C9" s="13">
        <f>Inputs!C13</f>
        <v/>
      </c>
      <c r="D9" s="13">
        <f>Inputs!D13</f>
        <v/>
      </c>
      <c r="E9" s="13">
        <f>Inputs!E13</f>
        <v/>
      </c>
      <c r="F9" s="13">
        <f>Inputs!F13</f>
        <v/>
      </c>
    </row>
    <row r="10">
      <c r="A10" s="7" t="inlineStr">
        <is>
          <t>Unlevered FCF</t>
        </is>
      </c>
      <c r="B10" s="10">
        <f>Inputs!B14</f>
        <v/>
      </c>
      <c r="C10" s="10">
        <f>Inputs!C14</f>
        <v/>
      </c>
      <c r="D10" s="10">
        <f>Inputs!D14</f>
        <v/>
      </c>
      <c r="E10" s="10">
        <f>Inputs!E14</f>
        <v/>
      </c>
      <c r="F10" s="10">
        <f>Inputs!F14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Five-year DCF (live formulas; driven by named assumptions on Inputs)</t>
        </is>
      </c>
    </row>
    <row r="2">
      <c r="A2" s="3" t="inlineStr">
        <is>
          <t>USD millions unless noted</t>
        </is>
      </c>
      <c r="B2" s="4" t="inlineStr">
        <is>
          <t>Year 1</t>
        </is>
      </c>
      <c r="C2" s="4" t="inlineStr">
        <is>
          <t>Year 2</t>
        </is>
      </c>
      <c r="D2" s="4" t="inlineStr">
        <is>
          <t>Year 3</t>
        </is>
      </c>
      <c r="E2" s="4" t="inlineStr">
        <is>
          <t>Year 4</t>
        </is>
      </c>
      <c r="F2" s="4" t="inlineStr">
        <is>
          <t>Year 5</t>
        </is>
      </c>
    </row>
    <row r="3">
      <c r="A3" t="inlineStr">
        <is>
          <t>Projection year</t>
        </is>
      </c>
      <c r="B3" t="n">
        <v>1</v>
      </c>
      <c r="C3" t="n">
        <v>2</v>
      </c>
      <c r="D3" t="n">
        <v>3</v>
      </c>
      <c r="E3" t="n">
        <v>4</v>
      </c>
      <c r="F3" t="n">
        <v>5</v>
      </c>
    </row>
    <row r="4">
      <c r="A4" t="inlineStr">
        <is>
          <t>Revenue growth</t>
        </is>
      </c>
      <c r="B4" s="15">
        <f>StartGrowth+(FadeGrowth-StartGrowth)*(B3-1)/4</f>
        <v/>
      </c>
      <c r="C4" s="15">
        <f>StartGrowth+(FadeGrowth-StartGrowth)*(C3-1)/4</f>
        <v/>
      </c>
      <c r="D4" s="15">
        <f>StartGrowth+(FadeGrowth-StartGrowth)*(D3-1)/4</f>
        <v/>
      </c>
      <c r="E4" s="15">
        <f>StartGrowth+(FadeGrowth-StartGrowth)*(E3-1)/4</f>
        <v/>
      </c>
      <c r="F4" s="15">
        <f>StartGrowth+(FadeGrowth-StartGrowth)*(F3-1)/4</f>
        <v/>
      </c>
    </row>
    <row r="5">
      <c r="A5" t="inlineStr">
        <is>
          <t>Revenue</t>
        </is>
      </c>
      <c r="B5" s="6">
        <f>Inputs!F5*(1+B4)</f>
        <v/>
      </c>
      <c r="C5" s="6">
        <f>B5*(1+C4)</f>
        <v/>
      </c>
      <c r="D5" s="6">
        <f>C5*(1+D4)</f>
        <v/>
      </c>
      <c r="E5" s="6">
        <f>D5*(1+E4)</f>
        <v/>
      </c>
      <c r="F5" s="6">
        <f>E5*(1+F4)</f>
        <v/>
      </c>
    </row>
    <row r="6">
      <c r="A6" t="inlineStr">
        <is>
          <t>Unlevered FCF margin</t>
        </is>
      </c>
      <c r="B6" s="15">
        <f>FCFMargin</f>
        <v/>
      </c>
      <c r="C6" s="15">
        <f>FCFMargin</f>
        <v/>
      </c>
      <c r="D6" s="15">
        <f>FCFMargin</f>
        <v/>
      </c>
      <c r="E6" s="15">
        <f>FCFMargin</f>
        <v/>
      </c>
      <c r="F6" s="15">
        <f>FCFMargin</f>
        <v/>
      </c>
    </row>
    <row r="7">
      <c r="A7" t="inlineStr">
        <is>
          <t>Unlevered FCF</t>
        </is>
      </c>
      <c r="B7" s="6">
        <f>B5*B6</f>
        <v/>
      </c>
      <c r="C7" s="6">
        <f>C5*C6</f>
        <v/>
      </c>
      <c r="D7" s="6">
        <f>D5*D6</f>
        <v/>
      </c>
      <c r="E7" s="6">
        <f>E5*E6</f>
        <v/>
      </c>
      <c r="F7" s="6">
        <f>F5*F6</f>
        <v/>
      </c>
    </row>
    <row r="8">
      <c r="A8" t="inlineStr">
        <is>
          <t>Discount factor</t>
        </is>
      </c>
      <c r="B8" s="16">
        <f>1/(1+WACC)^B3</f>
        <v/>
      </c>
      <c r="C8" s="16">
        <f>1/(1+WACC)^C3</f>
        <v/>
      </c>
      <c r="D8" s="16">
        <f>1/(1+WACC)^D3</f>
        <v/>
      </c>
      <c r="E8" s="16">
        <f>1/(1+WACC)^E3</f>
        <v/>
      </c>
      <c r="F8" s="16">
        <f>1/(1+WACC)^F3</f>
        <v/>
      </c>
    </row>
    <row r="9">
      <c r="A9" t="inlineStr">
        <is>
          <t>PV of FCF</t>
        </is>
      </c>
      <c r="B9" s="6">
        <f>B7*B8</f>
        <v/>
      </c>
      <c r="C9" s="6">
        <f>C7*C8</f>
        <v/>
      </c>
      <c r="D9" s="6">
        <f>D7*D8</f>
        <v/>
      </c>
      <c r="E9" s="6">
        <f>E7*E8</f>
        <v/>
      </c>
      <c r="F9" s="6">
        <f>F7*F8</f>
        <v/>
      </c>
    </row>
    <row r="11">
      <c r="A11" t="inlineStr">
        <is>
          <t>Sum of PV of FCF</t>
        </is>
      </c>
      <c r="B11" s="6">
        <f>SUM(B9:F9)</f>
        <v/>
      </c>
    </row>
    <row r="12">
      <c r="A12" t="inlineStr">
        <is>
          <t>Terminal value (Gordon growth)</t>
        </is>
      </c>
      <c r="B12" s="6">
        <f>F7*(1+TermGrowth)/(WACC-TermGrowth)</f>
        <v/>
      </c>
    </row>
    <row r="13">
      <c r="A13" t="inlineStr">
        <is>
          <t>PV of terminal value</t>
        </is>
      </c>
      <c r="B13" s="6">
        <f>B12*F8</f>
        <v/>
      </c>
    </row>
    <row r="14">
      <c r="A14" s="7" t="inlineStr">
        <is>
          <t>Enterprise value</t>
        </is>
      </c>
      <c r="B14" s="10">
        <f>B11+B13</f>
        <v/>
      </c>
    </row>
    <row r="15">
      <c r="A15" t="inlineStr">
        <is>
          <t>Less: net debt (latest FY)</t>
        </is>
      </c>
      <c r="B15" s="6">
        <f>N(Inputs!F17)</f>
        <v/>
      </c>
    </row>
    <row r="16">
      <c r="A16" t="inlineStr">
        <is>
          <t>Equity value</t>
        </is>
      </c>
      <c r="B16" s="6">
        <f>B14-B15</f>
        <v/>
      </c>
    </row>
    <row r="17">
      <c r="A17" t="inlineStr">
        <is>
          <t>Diluted shares (millions)</t>
        </is>
      </c>
      <c r="B17" s="6">
        <f>N(Inputs!F18)</f>
        <v/>
      </c>
    </row>
    <row r="18">
      <c r="A18" s="7" t="inlineStr">
        <is>
          <t>Equity value per share ($)</t>
        </is>
      </c>
      <c r="B18" s="17">
        <f>IF(AND(B17&gt;0,ISNUMBER(FCFMargin),WACC&gt;TermGrowth),B16/B17,"n/a")</f>
        <v/>
      </c>
    </row>
    <row r="19">
      <c r="A19" t="inlineStr">
        <is>
          <t>Current price ($)</t>
        </is>
      </c>
      <c r="B19" s="18">
        <f>Price</f>
        <v/>
      </c>
    </row>
    <row r="20">
      <c r="A20" t="inlineStr">
        <is>
          <t>Upside / (downside)</t>
        </is>
      </c>
      <c r="B20" s="15">
        <f>IF(AND(ISNUMBER(B18),N(Price)&gt;0),B18/Price-1,"n/a")</f>
        <v/>
      </c>
    </row>
    <row r="21">
      <c r="A21" t="inlineStr">
        <is>
          <t>Terminal value as % of EV</t>
        </is>
      </c>
      <c r="B21" s="15">
        <f>IFERROR(B13/B14,"n/a")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Equity value per share ($): WACC (rows) x terminal growth (columns)</t>
        </is>
      </c>
    </row>
    <row r="2">
      <c r="A2" t="inlineStr">
        <is>
          <t>Current price</t>
        </is>
      </c>
      <c r="B2" s="18">
        <f>Price</f>
        <v/>
      </c>
    </row>
    <row r="3">
      <c r="A3" t="inlineStr">
        <is>
          <t>Green = at/above current price; red = below. Headers are editable inputs.</t>
        </is>
      </c>
    </row>
    <row r="4">
      <c r="A4" s="7" t="inlineStr">
        <is>
          <t>WACC \ g</t>
        </is>
      </c>
      <c r="B4" s="19" t="n">
        <v>0.01</v>
      </c>
      <c r="C4" s="19" t="n">
        <v>0.015</v>
      </c>
      <c r="D4" s="19" t="n">
        <v>0.02</v>
      </c>
      <c r="E4" s="19" t="n">
        <v>0.025</v>
      </c>
      <c r="F4" s="19" t="n">
        <v>0.03</v>
      </c>
    </row>
    <row r="5">
      <c r="A5" s="19" t="n">
        <v>0.07000000000000001</v>
      </c>
      <c r="B5" s="18">
        <f>IF(AND(N(Inputs!$F$18)&gt;0,ISNUMBER(FCFMargin),$A5&gt;B$4),(SUMPRODUCT(DCF!$B$7:$F$7/(1+$A5)^DCF!$B$3:$F$3)+DCF!$F$7*(1+B$4)/($A5-B$4)/(1+$A5)^DCF!$F$3-DCF!$B$15)/DCF!$B$17,"n/a")</f>
        <v/>
      </c>
      <c r="C5" s="18">
        <f>IF(AND(N(Inputs!$F$18)&gt;0,ISNUMBER(FCFMargin),$A5&gt;C$4),(SUMPRODUCT(DCF!$B$7:$F$7/(1+$A5)^DCF!$B$3:$F$3)+DCF!$F$7*(1+C$4)/($A5-C$4)/(1+$A5)^DCF!$F$3-DCF!$B$15)/DCF!$B$17,"n/a")</f>
        <v/>
      </c>
      <c r="D5" s="18">
        <f>IF(AND(N(Inputs!$F$18)&gt;0,ISNUMBER(FCFMargin),$A5&gt;D$4),(SUMPRODUCT(DCF!$B$7:$F$7/(1+$A5)^DCF!$B$3:$F$3)+DCF!$F$7*(1+D$4)/($A5-D$4)/(1+$A5)^DCF!$F$3-DCF!$B$15)/DCF!$B$17,"n/a")</f>
        <v/>
      </c>
      <c r="E5" s="18">
        <f>IF(AND(N(Inputs!$F$18)&gt;0,ISNUMBER(FCFMargin),$A5&gt;E$4),(SUMPRODUCT(DCF!$B$7:$F$7/(1+$A5)^DCF!$B$3:$F$3)+DCF!$F$7*(1+E$4)/($A5-E$4)/(1+$A5)^DCF!$F$3-DCF!$B$15)/DCF!$B$17,"n/a")</f>
        <v/>
      </c>
      <c r="F5" s="18">
        <f>IF(AND(N(Inputs!$F$18)&gt;0,ISNUMBER(FCFMargin),$A5&gt;F$4),(SUMPRODUCT(DCF!$B$7:$F$7/(1+$A5)^DCF!$B$3:$F$3)+DCF!$F$7*(1+F$4)/($A5-F$4)/(1+$A5)^DCF!$F$3-DCF!$B$15)/DCF!$B$17,"n/a")</f>
        <v/>
      </c>
    </row>
    <row r="6">
      <c r="A6" s="19" t="n">
        <v>0.075</v>
      </c>
      <c r="B6" s="18">
        <f>IF(AND(N(Inputs!$F$18)&gt;0,ISNUMBER(FCFMargin),$A6&gt;B$4),(SUMPRODUCT(DCF!$B$7:$F$7/(1+$A6)^DCF!$B$3:$F$3)+DCF!$F$7*(1+B$4)/($A6-B$4)/(1+$A6)^DCF!$F$3-DCF!$B$15)/DCF!$B$17,"n/a")</f>
        <v/>
      </c>
      <c r="C6" s="18">
        <f>IF(AND(N(Inputs!$F$18)&gt;0,ISNUMBER(FCFMargin),$A6&gt;C$4),(SUMPRODUCT(DCF!$B$7:$F$7/(1+$A6)^DCF!$B$3:$F$3)+DCF!$F$7*(1+C$4)/($A6-C$4)/(1+$A6)^DCF!$F$3-DCF!$B$15)/DCF!$B$17,"n/a")</f>
        <v/>
      </c>
      <c r="D6" s="18">
        <f>IF(AND(N(Inputs!$F$18)&gt;0,ISNUMBER(FCFMargin),$A6&gt;D$4),(SUMPRODUCT(DCF!$B$7:$F$7/(1+$A6)^DCF!$B$3:$F$3)+DCF!$F$7*(1+D$4)/($A6-D$4)/(1+$A6)^DCF!$F$3-DCF!$B$15)/DCF!$B$17,"n/a")</f>
        <v/>
      </c>
      <c r="E6" s="18">
        <f>IF(AND(N(Inputs!$F$18)&gt;0,ISNUMBER(FCFMargin),$A6&gt;E$4),(SUMPRODUCT(DCF!$B$7:$F$7/(1+$A6)^DCF!$B$3:$F$3)+DCF!$F$7*(1+E$4)/($A6-E$4)/(1+$A6)^DCF!$F$3-DCF!$B$15)/DCF!$B$17,"n/a")</f>
        <v/>
      </c>
      <c r="F6" s="18">
        <f>IF(AND(N(Inputs!$F$18)&gt;0,ISNUMBER(FCFMargin),$A6&gt;F$4),(SUMPRODUCT(DCF!$B$7:$F$7/(1+$A6)^DCF!$B$3:$F$3)+DCF!$F$7*(1+F$4)/($A6-F$4)/(1+$A6)^DCF!$F$3-DCF!$B$15)/DCF!$B$17,"n/a")</f>
        <v/>
      </c>
    </row>
    <row r="7">
      <c r="A7" s="19" t="n">
        <v>0.08</v>
      </c>
      <c r="B7" s="18">
        <f>IF(AND(N(Inputs!$F$18)&gt;0,ISNUMBER(FCFMargin),$A7&gt;B$4),(SUMPRODUCT(DCF!$B$7:$F$7/(1+$A7)^DCF!$B$3:$F$3)+DCF!$F$7*(1+B$4)/($A7-B$4)/(1+$A7)^DCF!$F$3-DCF!$B$15)/DCF!$B$17,"n/a")</f>
        <v/>
      </c>
      <c r="C7" s="18">
        <f>IF(AND(N(Inputs!$F$18)&gt;0,ISNUMBER(FCFMargin),$A7&gt;C$4),(SUMPRODUCT(DCF!$B$7:$F$7/(1+$A7)^DCF!$B$3:$F$3)+DCF!$F$7*(1+C$4)/($A7-C$4)/(1+$A7)^DCF!$F$3-DCF!$B$15)/DCF!$B$17,"n/a")</f>
        <v/>
      </c>
      <c r="D7" s="18">
        <f>IF(AND(N(Inputs!$F$18)&gt;0,ISNUMBER(FCFMargin),$A7&gt;D$4),(SUMPRODUCT(DCF!$B$7:$F$7/(1+$A7)^DCF!$B$3:$F$3)+DCF!$F$7*(1+D$4)/($A7-D$4)/(1+$A7)^DCF!$F$3-DCF!$B$15)/DCF!$B$17,"n/a")</f>
        <v/>
      </c>
      <c r="E7" s="18">
        <f>IF(AND(N(Inputs!$F$18)&gt;0,ISNUMBER(FCFMargin),$A7&gt;E$4),(SUMPRODUCT(DCF!$B$7:$F$7/(1+$A7)^DCF!$B$3:$F$3)+DCF!$F$7*(1+E$4)/($A7-E$4)/(1+$A7)^DCF!$F$3-DCF!$B$15)/DCF!$B$17,"n/a")</f>
        <v/>
      </c>
      <c r="F7" s="18">
        <f>IF(AND(N(Inputs!$F$18)&gt;0,ISNUMBER(FCFMargin),$A7&gt;F$4),(SUMPRODUCT(DCF!$B$7:$F$7/(1+$A7)^DCF!$B$3:$F$3)+DCF!$F$7*(1+F$4)/($A7-F$4)/(1+$A7)^DCF!$F$3-DCF!$B$15)/DCF!$B$17,"n/a")</f>
        <v/>
      </c>
    </row>
    <row r="8">
      <c r="A8" s="19" t="n">
        <v>0.08500000000000001</v>
      </c>
      <c r="B8" s="18">
        <f>IF(AND(N(Inputs!$F$18)&gt;0,ISNUMBER(FCFMargin),$A8&gt;B$4),(SUMPRODUCT(DCF!$B$7:$F$7/(1+$A8)^DCF!$B$3:$F$3)+DCF!$F$7*(1+B$4)/($A8-B$4)/(1+$A8)^DCF!$F$3-DCF!$B$15)/DCF!$B$17,"n/a")</f>
        <v/>
      </c>
      <c r="C8" s="18">
        <f>IF(AND(N(Inputs!$F$18)&gt;0,ISNUMBER(FCFMargin),$A8&gt;C$4),(SUMPRODUCT(DCF!$B$7:$F$7/(1+$A8)^DCF!$B$3:$F$3)+DCF!$F$7*(1+C$4)/($A8-C$4)/(1+$A8)^DCF!$F$3-DCF!$B$15)/DCF!$B$17,"n/a")</f>
        <v/>
      </c>
      <c r="D8" s="18">
        <f>IF(AND(N(Inputs!$F$18)&gt;0,ISNUMBER(FCFMargin),$A8&gt;D$4),(SUMPRODUCT(DCF!$B$7:$F$7/(1+$A8)^DCF!$B$3:$F$3)+DCF!$F$7*(1+D$4)/($A8-D$4)/(1+$A8)^DCF!$F$3-DCF!$B$15)/DCF!$B$17,"n/a")</f>
        <v/>
      </c>
      <c r="E8" s="18">
        <f>IF(AND(N(Inputs!$F$18)&gt;0,ISNUMBER(FCFMargin),$A8&gt;E$4),(SUMPRODUCT(DCF!$B$7:$F$7/(1+$A8)^DCF!$B$3:$F$3)+DCF!$F$7*(1+E$4)/($A8-E$4)/(1+$A8)^DCF!$F$3-DCF!$B$15)/DCF!$B$17,"n/a")</f>
        <v/>
      </c>
      <c r="F8" s="18">
        <f>IF(AND(N(Inputs!$F$18)&gt;0,ISNUMBER(FCFMargin),$A8&gt;F$4),(SUMPRODUCT(DCF!$B$7:$F$7/(1+$A8)^DCF!$B$3:$F$3)+DCF!$F$7*(1+F$4)/($A8-F$4)/(1+$A8)^DCF!$F$3-DCF!$B$15)/DCF!$B$17,"n/a")</f>
        <v/>
      </c>
    </row>
    <row r="9">
      <c r="A9" s="19" t="n">
        <v>0.09</v>
      </c>
      <c r="B9" s="18">
        <f>IF(AND(N(Inputs!$F$18)&gt;0,ISNUMBER(FCFMargin),$A9&gt;B$4),(SUMPRODUCT(DCF!$B$7:$F$7/(1+$A9)^DCF!$B$3:$F$3)+DCF!$F$7*(1+B$4)/($A9-B$4)/(1+$A9)^DCF!$F$3-DCF!$B$15)/DCF!$B$17,"n/a")</f>
        <v/>
      </c>
      <c r="C9" s="18">
        <f>IF(AND(N(Inputs!$F$18)&gt;0,ISNUMBER(FCFMargin),$A9&gt;C$4),(SUMPRODUCT(DCF!$B$7:$F$7/(1+$A9)^DCF!$B$3:$F$3)+DCF!$F$7*(1+C$4)/($A9-C$4)/(1+$A9)^DCF!$F$3-DCF!$B$15)/DCF!$B$17,"n/a")</f>
        <v/>
      </c>
      <c r="D9" s="18">
        <f>IF(AND(N(Inputs!$F$18)&gt;0,ISNUMBER(FCFMargin),$A9&gt;D$4),(SUMPRODUCT(DCF!$B$7:$F$7/(1+$A9)^DCF!$B$3:$F$3)+DCF!$F$7*(1+D$4)/($A9-D$4)/(1+$A9)^DCF!$F$3-DCF!$B$15)/DCF!$B$17,"n/a")</f>
        <v/>
      </c>
      <c r="E9" s="18">
        <f>IF(AND(N(Inputs!$F$18)&gt;0,ISNUMBER(FCFMargin),$A9&gt;E$4),(SUMPRODUCT(DCF!$B$7:$F$7/(1+$A9)^DCF!$B$3:$F$3)+DCF!$F$7*(1+E$4)/($A9-E$4)/(1+$A9)^DCF!$F$3-DCF!$B$15)/DCF!$B$17,"n/a")</f>
        <v/>
      </c>
      <c r="F9" s="18">
        <f>IF(AND(N(Inputs!$F$18)&gt;0,ISNUMBER(FCFMargin),$A9&gt;F$4),(SUMPRODUCT(DCF!$B$7:$F$7/(1+$A9)^DCF!$B$3:$F$3)+DCF!$F$7*(1+F$4)/($A9-F$4)/(1+$A9)^DCF!$F$3-DCF!$B$15)/DCF!$B$17,"n/a")</f>
        <v/>
      </c>
    </row>
    <row r="10">
      <c r="A10" s="19" t="n">
        <v>0.095</v>
      </c>
      <c r="B10" s="18">
        <f>IF(AND(N(Inputs!$F$18)&gt;0,ISNUMBER(FCFMargin),$A10&gt;B$4),(SUMPRODUCT(DCF!$B$7:$F$7/(1+$A10)^DCF!$B$3:$F$3)+DCF!$F$7*(1+B$4)/($A10-B$4)/(1+$A10)^DCF!$F$3-DCF!$B$15)/DCF!$B$17,"n/a")</f>
        <v/>
      </c>
      <c r="C10" s="18">
        <f>IF(AND(N(Inputs!$F$18)&gt;0,ISNUMBER(FCFMargin),$A10&gt;C$4),(SUMPRODUCT(DCF!$B$7:$F$7/(1+$A10)^DCF!$B$3:$F$3)+DCF!$F$7*(1+C$4)/($A10-C$4)/(1+$A10)^DCF!$F$3-DCF!$B$15)/DCF!$B$17,"n/a")</f>
        <v/>
      </c>
      <c r="D10" s="18">
        <f>IF(AND(N(Inputs!$F$18)&gt;0,ISNUMBER(FCFMargin),$A10&gt;D$4),(SUMPRODUCT(DCF!$B$7:$F$7/(1+$A10)^DCF!$B$3:$F$3)+DCF!$F$7*(1+D$4)/($A10-D$4)/(1+$A10)^DCF!$F$3-DCF!$B$15)/DCF!$B$17,"n/a")</f>
        <v/>
      </c>
      <c r="E10" s="18">
        <f>IF(AND(N(Inputs!$F$18)&gt;0,ISNUMBER(FCFMargin),$A10&gt;E$4),(SUMPRODUCT(DCF!$B$7:$F$7/(1+$A10)^DCF!$B$3:$F$3)+DCF!$F$7*(1+E$4)/($A10-E$4)/(1+$A10)^DCF!$F$3-DCF!$B$15)/DCF!$B$17,"n/a")</f>
        <v/>
      </c>
      <c r="F10" s="18">
        <f>IF(AND(N(Inputs!$F$18)&gt;0,ISNUMBER(FCFMargin),$A10&gt;F$4),(SUMPRODUCT(DCF!$B$7:$F$7/(1+$A10)^DCF!$B$3:$F$3)+DCF!$F$7*(1+F$4)/($A10-F$4)/(1+$A10)^DCF!$F$3-DCF!$B$15)/DCF!$B$17,"n/a")</f>
        <v/>
      </c>
    </row>
    <row r="11">
      <c r="A11" s="19" t="n">
        <v>0.1</v>
      </c>
      <c r="B11" s="18">
        <f>IF(AND(N(Inputs!$F$18)&gt;0,ISNUMBER(FCFMargin),$A11&gt;B$4),(SUMPRODUCT(DCF!$B$7:$F$7/(1+$A11)^DCF!$B$3:$F$3)+DCF!$F$7*(1+B$4)/($A11-B$4)/(1+$A11)^DCF!$F$3-DCF!$B$15)/DCF!$B$17,"n/a")</f>
        <v/>
      </c>
      <c r="C11" s="18">
        <f>IF(AND(N(Inputs!$F$18)&gt;0,ISNUMBER(FCFMargin),$A11&gt;C$4),(SUMPRODUCT(DCF!$B$7:$F$7/(1+$A11)^DCF!$B$3:$F$3)+DCF!$F$7*(1+C$4)/($A11-C$4)/(1+$A11)^DCF!$F$3-DCF!$B$15)/DCF!$B$17,"n/a")</f>
        <v/>
      </c>
      <c r="D11" s="18">
        <f>IF(AND(N(Inputs!$F$18)&gt;0,ISNUMBER(FCFMargin),$A11&gt;D$4),(SUMPRODUCT(DCF!$B$7:$F$7/(1+$A11)^DCF!$B$3:$F$3)+DCF!$F$7*(1+D$4)/($A11-D$4)/(1+$A11)^DCF!$F$3-DCF!$B$15)/DCF!$B$17,"n/a")</f>
        <v/>
      </c>
      <c r="E11" s="18">
        <f>IF(AND(N(Inputs!$F$18)&gt;0,ISNUMBER(FCFMargin),$A11&gt;E$4),(SUMPRODUCT(DCF!$B$7:$F$7/(1+$A11)^DCF!$B$3:$F$3)+DCF!$F$7*(1+E$4)/($A11-E$4)/(1+$A11)^DCF!$F$3-DCF!$B$15)/DCF!$B$17,"n/a")</f>
        <v/>
      </c>
      <c r="F11" s="18">
        <f>IF(AND(N(Inputs!$F$18)&gt;0,ISNUMBER(FCFMargin),$A11&gt;F$4),(SUMPRODUCT(DCF!$B$7:$F$7/(1+$A11)^DCF!$B$3:$F$3)+DCF!$F$7*(1+F$4)/($A11-F$4)/(1+$A11)^DCF!$F$3-DCF!$B$15)/DCF!$B$17,"n/a")</f>
        <v/>
      </c>
    </row>
    <row r="12">
      <c r="A12" s="19" t="n">
        <v>0.105</v>
      </c>
      <c r="B12" s="18">
        <f>IF(AND(N(Inputs!$F$18)&gt;0,ISNUMBER(FCFMargin),$A12&gt;B$4),(SUMPRODUCT(DCF!$B$7:$F$7/(1+$A12)^DCF!$B$3:$F$3)+DCF!$F$7*(1+B$4)/($A12-B$4)/(1+$A12)^DCF!$F$3-DCF!$B$15)/DCF!$B$17,"n/a")</f>
        <v/>
      </c>
      <c r="C12" s="18">
        <f>IF(AND(N(Inputs!$F$18)&gt;0,ISNUMBER(FCFMargin),$A12&gt;C$4),(SUMPRODUCT(DCF!$B$7:$F$7/(1+$A12)^DCF!$B$3:$F$3)+DCF!$F$7*(1+C$4)/($A12-C$4)/(1+$A12)^DCF!$F$3-DCF!$B$15)/DCF!$B$17,"n/a")</f>
        <v/>
      </c>
      <c r="D12" s="18">
        <f>IF(AND(N(Inputs!$F$18)&gt;0,ISNUMBER(FCFMargin),$A12&gt;D$4),(SUMPRODUCT(DCF!$B$7:$F$7/(1+$A12)^DCF!$B$3:$F$3)+DCF!$F$7*(1+D$4)/($A12-D$4)/(1+$A12)^DCF!$F$3-DCF!$B$15)/DCF!$B$17,"n/a")</f>
        <v/>
      </c>
      <c r="E12" s="18">
        <f>IF(AND(N(Inputs!$F$18)&gt;0,ISNUMBER(FCFMargin),$A12&gt;E$4),(SUMPRODUCT(DCF!$B$7:$F$7/(1+$A12)^DCF!$B$3:$F$3)+DCF!$F$7*(1+E$4)/($A12-E$4)/(1+$A12)^DCF!$F$3-DCF!$B$15)/DCF!$B$17,"n/a")</f>
        <v/>
      </c>
      <c r="F12" s="18">
        <f>IF(AND(N(Inputs!$F$18)&gt;0,ISNUMBER(FCFMargin),$A12&gt;F$4),(SUMPRODUCT(DCF!$B$7:$F$7/(1+$A12)^DCF!$B$3:$F$3)+DCF!$F$7*(1+F$4)/($A12-F$4)/(1+$A12)^DCF!$F$3-DCF!$B$15)/DCF!$B$17,"n/a")</f>
        <v/>
      </c>
    </row>
    <row r="13">
      <c r="A13" s="19" t="n">
        <v>0.11</v>
      </c>
      <c r="B13" s="18">
        <f>IF(AND(N(Inputs!$F$18)&gt;0,ISNUMBER(FCFMargin),$A13&gt;B$4),(SUMPRODUCT(DCF!$B$7:$F$7/(1+$A13)^DCF!$B$3:$F$3)+DCF!$F$7*(1+B$4)/($A13-B$4)/(1+$A13)^DCF!$F$3-DCF!$B$15)/DCF!$B$17,"n/a")</f>
        <v/>
      </c>
      <c r="C13" s="18">
        <f>IF(AND(N(Inputs!$F$18)&gt;0,ISNUMBER(FCFMargin),$A13&gt;C$4),(SUMPRODUCT(DCF!$B$7:$F$7/(1+$A13)^DCF!$B$3:$F$3)+DCF!$F$7*(1+C$4)/($A13-C$4)/(1+$A13)^DCF!$F$3-DCF!$B$15)/DCF!$B$17,"n/a")</f>
        <v/>
      </c>
      <c r="D13" s="18">
        <f>IF(AND(N(Inputs!$F$18)&gt;0,ISNUMBER(FCFMargin),$A13&gt;D$4),(SUMPRODUCT(DCF!$B$7:$F$7/(1+$A13)^DCF!$B$3:$F$3)+DCF!$F$7*(1+D$4)/($A13-D$4)/(1+$A13)^DCF!$F$3-DCF!$B$15)/DCF!$B$17,"n/a")</f>
        <v/>
      </c>
      <c r="E13" s="18">
        <f>IF(AND(N(Inputs!$F$18)&gt;0,ISNUMBER(FCFMargin),$A13&gt;E$4),(SUMPRODUCT(DCF!$B$7:$F$7/(1+$A13)^DCF!$B$3:$F$3)+DCF!$F$7*(1+E$4)/($A13-E$4)/(1+$A13)^DCF!$F$3-DCF!$B$15)/DCF!$B$17,"n/a")</f>
        <v/>
      </c>
      <c r="F13" s="18">
        <f>IF(AND(N(Inputs!$F$18)&gt;0,ISNUMBER(FCFMargin),$A13&gt;F$4),(SUMPRODUCT(DCF!$B$7:$F$7/(1+$A13)^DCF!$B$3:$F$3)+DCF!$F$7*(1+F$4)/($A13-F$4)/(1+$A13)^DCF!$F$3-DCF!$B$15)/DCF!$B$17,"n/a")</f>
        <v/>
      </c>
    </row>
  </sheetData>
  <conditionalFormatting sqref="B5:F13">
    <cfRule type="expression" priority="1" dxfId="0">
      <formula>AND(ISNUMBER(B5),N($B$2)&gt;0,B5&gt;=$B$2)</formula>
    </cfRule>
    <cfRule type="expression" priority="2" dxfId="1">
      <formula>AND(ISNUMBER(B5),N($B$2)&gt;0,B5&lt;$B$2)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2026-10-17T21:13:56Z</dcterms:created>
  <dcterms:modified xmlns:dcterms="http://purl.org/dc/terms/" xmlns:xsi="http://www.w3.org/2001/XMLSchema-instance" xsi:type="dcterms:W3CDTF">2026-10-17T21:13:56Z</dcterms:modified>
</cp:coreProperties>
</file>